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<sst xmlns="http://schemas.openxmlformats.org/spreadsheetml/2006/main" count="247" uniqueCount="175">
  <si>
    <t xml:space="preserve">Reference</t>
  </si>
  <si>
    <t xml:space="preserve">Qty</t>
  </si>
  <si>
    <t xml:space="preserve">Value</t>
  </si>
  <si>
    <t xml:space="preserve">Footprint</t>
  </si>
  <si>
    <t xml:space="preserve">Matched Part Number</t>
  </si>
  <si>
    <t xml:space="preserve">Part Match</t>
  </si>
  <si>
    <t xml:space="preserve">Description</t>
  </si>
  <si>
    <t xml:space="preserve">Selected Offers</t>
  </si>
  <si>
    <t xml:space="preserve">Selected Distributor</t>
  </si>
  <si>
    <t xml:space="preserve">Ordered</t>
  </si>
  <si>
    <t xml:space="preserve">Selected Distributor SKU</t>
  </si>
  <si>
    <t xml:space="preserve">Selected Offers (Distributor Link)</t>
  </si>
  <si>
    <t xml:space="preserve">Stock</t>
  </si>
  <si>
    <t xml:space="preserve">Unit Price, $</t>
  </si>
  <si>
    <t xml:space="preserve">Total Price</t>
  </si>
  <si>
    <t xml:space="preserve">C1, C2, C3, C4, C5, C6</t>
  </si>
  <si>
    <t xml:space="preserve">100nF</t>
  </si>
  <si>
    <t xml:space="preserve">Ceramic Capacitor, Ceramic, 50V, 10% +Tol, 10% -Tol, X7R, 15% TC, 0.1uF, Surface Mount, 0805</t>
  </si>
  <si>
    <t xml:space="preserve">Mouser 603-CC805KRX7R9BB104</t>
  </si>
  <si>
    <t xml:space="preserve">Mouser</t>
  </si>
  <si>
    <t xml:space="preserve">603-CC805KRX7R9BB104</t>
  </si>
  <si>
    <t xml:space="preserve">https://octopart.com/opatz8j6/a1?t=Y4ZEsoHkcQH4M0T24dEaMJYMRt22RR5wT_cycgInV2a39ZQ6NDR1LwaZFuSra9Mmt8IJFfgxJomC9mT05dTYIbUREe1__ZR5WPGP62MIwx059WZZcEcjaToEUeiMJi0FOtavdyZfPklDaj0l5FHq6cstznbIaGsbjIU5xqj0Ii-npfPz0kqy8mQzAA5KMto54zfGBkbRrbvn5H6af4oUDmQb7nUdt96QCubcGhbWWbj1XxmbNGk-fgGFyw4Vh21EdbjN9oAh8tSktT9rqBds49zDMQ</t>
  </si>
  <si>
    <t xml:space="preserve">D1, D2, D3, D4, D8, D9</t>
  </si>
  <si>
    <t xml:space="preserve">US1M</t>
  </si>
  <si>
    <t xml:space="preserve">Diode_SMD:D_SMA</t>
  </si>
  <si>
    <t xml:space="preserve">S1M-13-F</t>
  </si>
  <si>
    <t xml:space="preserve">Selected</t>
  </si>
  <si>
    <t xml:space="preserve">Rectifier Standard Recovery Gpp Sma 1.0A 1000V Rohs 5K Rohs Compliant: Yes</t>
  </si>
  <si>
    <t xml:space="preserve">Mouser 621-S1M-F</t>
  </si>
  <si>
    <t xml:space="preserve">621-S1M-F</t>
  </si>
  <si>
    <t xml:space="preserve">https://octopart.com/opatz8j6/a1?t=8QxNfW6SBdPDB1f_rBsjhx8h_E-Rs6S5mrljwBZeeCqsC_gNRYKtev9x6ZJK6OK-OyyEH_LjaZLeQrRYQkchPG2PXm4QBt2dDviAVk6QU2WFR2tr8a2Gyiv3a_Fd9SgHlkuIB-qvQLPqtAySGo130xN3Lm97Ub3W_JqKOgNpwdZYGcFyo8MDYGEvpHKPAPWdhspQWYT1VX9E3wKFRmQMeUrRTobuYa7P20akcDzglc-DwxIV3mntnQS5pY-SBXfzjXr_hyf1KP4apbAXMz_dXSlctgdi</t>
  </si>
  <si>
    <t xml:space="preserve">D5, D6, D7, D10, D11</t>
  </si>
  <si>
    <t xml:space="preserve">WS2812B</t>
  </si>
  <si>
    <t xml:space="preserve">LED_SMD:LED_WS2812B_PLCC4_5.0x5.0mm_P3.2mm</t>
  </si>
  <si>
    <t xml:space="preserve">Adressable RGB led</t>
  </si>
  <si>
    <t xml:space="preserve">https://de.aliexpress.com/item/1005005260598493.html</t>
  </si>
  <si>
    <t xml:space="preserve">Aliexpress</t>
  </si>
  <si>
    <t xml:space="preserve">ok</t>
  </si>
  <si>
    <t xml:space="preserve">F1,F3</t>
  </si>
  <si>
    <t xml:space="preserve">10A</t>
  </si>
  <si>
    <t xml:space="preserve">Fusible 10A</t>
  </si>
  <si>
    <t xml:space="preserve">https://de.aliexpress.com/item/1005004542565076.html</t>
  </si>
  <si>
    <t xml:space="preserve">F2,F4</t>
  </si>
  <si>
    <t xml:space="preserve">40A</t>
  </si>
  <si>
    <t xml:space="preserve">Fusible 40A</t>
  </si>
  <si>
    <t xml:space="preserve">J1, J2, J6, J7, J12, J14, J23, J24, J25, J26, J27</t>
  </si>
  <si>
    <t xml:space="preserve">Conn_01x04</t>
  </si>
  <si>
    <t xml:space="preserve">Straight Bornier a vis enfichable 4P</t>
  </si>
  <si>
    <t xml:space="preserve">https://de.aliexpress.com/item/1005002951702737.html</t>
  </si>
  <si>
    <t xml:space="preserve">J3, J17</t>
  </si>
  <si>
    <t xml:space="preserve">Conn_01x06</t>
  </si>
  <si>
    <t xml:space="preserve">Straight Bornier a vis enfichable 6P</t>
  </si>
  <si>
    <t xml:space="preserve">J4, J5, J8, J9</t>
  </si>
  <si>
    <t xml:space="preserve">Conn_01x02</t>
  </si>
  <si>
    <t xml:space="preserve">Straight Bornier a vis enfichable 2P</t>
  </si>
  <si>
    <t xml:space="preserve">J10, J11, J13, J20, J21</t>
  </si>
  <si>
    <t xml:space="preserve">Conn_01x03</t>
  </si>
  <si>
    <t xml:space="preserve">Straight Bornier a vis enfichable 3P</t>
  </si>
  <si>
    <t xml:space="preserve">J15, J16, J18, J22</t>
  </si>
  <si>
    <t xml:space="preserve">Conn_01x05</t>
  </si>
  <si>
    <t xml:space="preserve">Straight Bornier a vis enfichable 5P</t>
  </si>
  <si>
    <t xml:space="preserve">J19</t>
  </si>
  <si>
    <t xml:space="preserve">Conn_01x08</t>
  </si>
  <si>
    <t xml:space="preserve">HW-G12</t>
  </si>
  <si>
    <t xml:space="preserve">10 DOF IMU</t>
  </si>
  <si>
    <t xml:space="preserve">https://de.aliexpress.com/item/1005008076581555.html</t>
  </si>
  <si>
    <t xml:space="preserve">Q4, Q5, Q6, Q7, Q8, Q9,</t>
  </si>
  <si>
    <t xml:space="preserve">NMOS</t>
  </si>
  <si>
    <t xml:space="preserve">IRFML8244TRPBF</t>
  </si>
  <si>
    <t xml:space="preserve">MOSFET N-CH 25V 5.8A SOT23 N-Channel 25 V 5.8A (Ta) 1.25W (Ta) Surface Mount SOT-23</t>
  </si>
  <si>
    <t xml:space="preserve">RS (Formerly Allied Electronics) IRFML8244TRPBF</t>
  </si>
  <si>
    <t xml:space="preserve">RS (Formerly Allied Electronics)</t>
  </si>
  <si>
    <t xml:space="preserve">https://octopart.com/opatz8j6/a1?t=-decaciIPKK1TJPc-JrDOsK0YjwU6cELVxXR_jPB4ZrOoYS7blPLSGCzZ05wTLc8lmN-drkWJGILz_y9pcGaLjdCa1rL-9gwQAjca0GehXTWXP6M0ra0Ed5WnjrqV0ZupM4KnQfYJp4CYu18ud7VH2-YMQt1k_h_6rKRdQ1_ATtljf63L9LjDfpoysy00gt6-BW18vYbQRNblVEJS-49HN6UgZhlPFFJcvkID3dcAemDzMQnx31zJF8MhjUth-T4vkftzPgrwOD6sGdo3h2cghpV</t>
  </si>
  <si>
    <t xml:space="preserve">R1, R2, R8, R9</t>
  </si>
  <si>
    <t xml:space="preserve">0.001 R</t>
  </si>
  <si>
    <t xml:space="preserve">CSNL2512FT1L00</t>
  </si>
  <si>
    <t xml:space="preserve">Res Metal Foil 2512 0.001 Ohm 1% 2W ±50ppm/C Pad SMD Automotive T/R</t>
  </si>
  <si>
    <t xml:space="preserve">Mouser 708-CSNL2512FT1L00</t>
  </si>
  <si>
    <t xml:space="preserve">708-CSNL2512FT1L00</t>
  </si>
  <si>
    <t xml:space="preserve">https://octopart.com/opatz8j6/a1?t=HPrcAMlGiT1QuE4iU0M4mRONBzUsoD91J4nULcAAzfEsf_YTC5Ny4fsljU0GnHDW4kTWZKomK9Hg5C3inziSRq04XcsdbQ6jODEop3RGQ2JUYxLof2kBRgF5QWiuwLrYTQhQ_LgyGz4pPumKXIfkqMVGWt04_T6_AourUKpl3RCCTcxuBAG0S3RscSd0pu5zAHfnUAAdAAm7JbHD7CH6qjlqaetQA3qV4PnPddzWtjyZQHuQcAj38hpCIbvukRI6PjSWm-7R_wEGv6sdUwJkkIKf_M2G</t>
  </si>
  <si>
    <t xml:space="preserve">R3, R4, R5</t>
  </si>
  <si>
    <t xml:space="preserve">100R</t>
  </si>
  <si>
    <t xml:space="preserve">R6, R7</t>
  </si>
  <si>
    <t xml:space="preserve">4k7</t>
  </si>
  <si>
    <t xml:space="preserve">Res Thick Film 0402 4.7K Ohm 1% 0.1W ±100ppm/°C Molded SMD Punched Carrier T/R</t>
  </si>
  <si>
    <t xml:space="preserve">Mouser 667-ERJ-2RKF4701X</t>
  </si>
  <si>
    <t xml:space="preserve">667-ERJ-2RKF4701X</t>
  </si>
  <si>
    <t xml:space="preserve">https://octopart.com/opatz8j6/a1?t=HM3fHoY65Za9po8B9Nl1Vyg0_te-CkLDowi78VilI8tdVogrZta-_YWJ3lNQVurj40aYOiKkx6VtAFFekSWRqDLjLT6AwnPxPMQkXsvrJufhmtQdNTvNvec48MeYcRD8aVIKRYvF61OKJvqNtXvzhrJ3pIx7Shj_pbqMAxHP4dPh3edOAVSMs7i84lyNgvqVhQVG4MlS3GA1RD0ANPfffbNFjIwaF32Gfkgzq8yseTQnBbQtqSMjb4qPYAa8oFTdGQR7bdvQw5D83USE-VgrD0t1_EA</t>
  </si>
  <si>
    <t xml:space="preserve">R10, R12, R13, R14, R15, R16</t>
  </si>
  <si>
    <t xml:space="preserve">330 R</t>
  </si>
  <si>
    <t xml:space="preserve">R11</t>
  </si>
  <si>
    <t xml:space="preserve">10 K</t>
  </si>
  <si>
    <t xml:space="preserve">Varistor, 16J, Through Hole Mount</t>
  </si>
  <si>
    <t xml:space="preserve">U1</t>
  </si>
  <si>
    <t xml:space="preserve">TJA1051T-3</t>
  </si>
  <si>
    <t xml:space="preserve">Package_SO:SOIC-8_3.9x4.9mm_P1.27mm</t>
  </si>
  <si>
    <t xml:space="preserve">TJA1051T/3/2Z</t>
  </si>
  <si>
    <t xml:space="preserve">Exact</t>
  </si>
  <si>
    <t xml:space="preserve">CAN Interface, CAN Transceiver, I2C, 5 Mbps, 4.5 V, 5.5 V, SOIC, 8 Pins</t>
  </si>
  <si>
    <t xml:space="preserve">Mouser 771-TJA1051T/3/2Z</t>
  </si>
  <si>
    <t xml:space="preserve">771-TJA1051T/3/2Z</t>
  </si>
  <si>
    <t xml:space="preserve">https://octopart.com/opatz8j6/a1?t=RaJNY1TLOTbvnY8HizHKeoNc-NgEY4DT6crtDJDtNQw6_bWVUu0ZKjWzYTUR0S9gp7NNqIfcIm6tX_xLy9-muLNAcAYJp1ZIqRkHe1ACUWCdQ80ne1CTQYHK6UBxMg0czPDh_JSHl7V6_w95a16k87f1GA7t5Blj38kIs0tE1OyFEgJeAFh7NZi_rBIpY_qqhUvO3hswierLmwRHMPdIl-fvdkuysabsI6rT1Fx33xU01LWy49zKdLcLHjXqHX1-yMUMFzJGTb1Y3Z6WGBE5ymqDDmm5</t>
  </si>
  <si>
    <t xml:space="preserve">U2, U5, U9, U10</t>
  </si>
  <si>
    <t xml:space="preserve">INA228</t>
  </si>
  <si>
    <t xml:space="preserve">Package_SO:VSSOP-10_3x3mm_P0.5mm</t>
  </si>
  <si>
    <t xml:space="preserve">INA228AQDGSRQ1</t>
  </si>
  <si>
    <t xml:space="preserve">Similar</t>
  </si>
  <si>
    <t xml:space="preserve">IC PWR MONITOR 10VSSOP Power Supply Controller Digital Power Monitor 10-VSSOP</t>
  </si>
  <si>
    <t xml:space="preserve">DigiKey 296-INA228AQDGSRQ1CT-ND</t>
  </si>
  <si>
    <t xml:space="preserve">DigiKey</t>
  </si>
  <si>
    <t xml:space="preserve">296-INA228AQDGSRQ1CT-ND</t>
  </si>
  <si>
    <t xml:space="preserve">https://octopart.com/opatz8j6/a1?t=m4z2dfVGcmbg8_1hoKKhEkmw-MnNXZhLFQzHvOiaYH-vcy_D2Qfk8PCFkaGmEq-mK3mwlkX4TINACoyu9Q2wSetDddsJTpTv-___Z3zLGRpOBuSzGQqY45k4C4jQRdOm6agPDG7kegKnUhhaZAeYn7UUwfamxBfthD2syrSXyQNUhSSJqpBTlZVsTikC070Zkd0pdIKF-yQy5pLbSMdIEDy64JDoZlNiHN5-YtfU8HKYvpeOqdn7X4jfnfh2_9dI8k_tVm6hV9lWcXrPC_Z0TDa1FI0</t>
  </si>
  <si>
    <t xml:space="preserve">U6</t>
  </si>
  <si>
    <t xml:space="preserve">ESP32-DEVKITC-32D</t>
  </si>
  <si>
    <t xml:space="preserve">ESP32-DEVKITC-32D:MODULE_ESP32-DEVKITC-32D</t>
  </si>
  <si>
    <t xml:space="preserve">Espressif Systems ESP32-DevKitC Microcontroller</t>
  </si>
  <si>
    <t xml:space="preserve">https://de.aliexpress.com/item/1005009773468597.html</t>
  </si>
  <si>
    <t xml:space="preserve">U7, U8</t>
  </si>
  <si>
    <t xml:space="preserve">MCP23017_SO</t>
  </si>
  <si>
    <t xml:space="preserve">Package_SO:SOIC-28W_7.5x17.9mm_P1.27mm</t>
  </si>
  <si>
    <t xml:space="preserve">MCP23017T-E/SO</t>
  </si>
  <si>
    <t xml:space="preserve">MCP23017 Series 5.5 V 1.7 MHz SMT 16-Bit I2C I/O Expander - SOIC-28</t>
  </si>
  <si>
    <t xml:space="preserve">Mouser 579-MCP23017T-E/SO</t>
  </si>
  <si>
    <t xml:space="preserve">579-MCP23017T-E/SO</t>
  </si>
  <si>
    <t xml:space="preserve">https://octopart.com/opatz8j6/a1?t=4ANyilKSpUPTuNnAtpln0If0-yZxHdHK-YVaQijUHjEex9hv9TqZ0SaOcR9v3tnfFfvjg8z10YEHtGB_USKVvrgMSWfjMlc1baH-NnHP27EZGV3yMxHF1m3zyRnsP49eXrb-Vw9NMSEbhF9uFjNXgpu17X01YYGZ3oM5xjdkUlb-dJNZ7Tk7BpqMMXfaSFqlY0cYKgQT1C2OpfV4VJdLhY3lORFpOtCMqio_hT3rizmzfsYP__z7AWVkgLbkjtjDzM0JcwWTcRCdmdlFysFIif1zOA</t>
  </si>
  <si>
    <t xml:space="preserve">Q1, Q2, Q3, Q10, Q11</t>
  </si>
  <si>
    <t xml:space="preserve">NMOS_80A</t>
  </si>
  <si>
    <t xml:space="preserve">STB80NF10T4</t>
  </si>
  <si>
    <t xml:space="preserve">N-channel 100V - 0.012 Ohm - 80A - D2PAK Low Gate Charge Stripfet(tm) Mosfet</t>
  </si>
  <si>
    <t xml:space="preserve">Mouser 511-STB80NF10</t>
  </si>
  <si>
    <t xml:space="preserve">511-STB80NF10</t>
  </si>
  <si>
    <t xml:space="preserve">https://octopart.com/opatz8j6/a1?t=zxE_7BmTL62iCNx2B7SLYV9YnfNc0Bz3YGjx2Fw4mBthbJ3rV4DuOiyZTkih01tWDzxuF1IhIF7hePmv4qXWWLYPKyenHhMx_JRcCFaNp_xyyKsh0p38FqdngBVIyUkKsQoDuhM4kkVcqiwdJoJS2KlW3F_P8GlmNe16YOlrNetIL71f0GyeNgeOX_BXB6WNYf3AhE8HQSZ56uIHVz17MHTq-_jslUEyqtUt0H4OefOgSCpE_O-0LXGzQsCSaUYkXpz5-3zMdSTDkE2gJBS6erNrcg</t>
  </si>
  <si>
    <t xml:space="preserve">U3</t>
  </si>
  <si>
    <t xml:space="preserve">DC buck 5V</t>
  </si>
  <si>
    <t xml:space="preserve">Buck 120 V to 5V, 3A</t>
  </si>
  <si>
    <t xml:space="preserve">https://de.aliexpress.com/item/1005007822445728.html</t>
  </si>
  <si>
    <t xml:space="preserve">U4</t>
  </si>
  <si>
    <t xml:space="preserve">DC buck 12V</t>
  </si>
  <si>
    <t xml:space="preserve">Buck 120 V to 12V, 3A</t>
  </si>
  <si>
    <t xml:space="preserve">EXTERNAL BUCK USB C</t>
  </si>
  <si>
    <t xml:space="preserve">DC buck 24V</t>
  </si>
  <si>
    <t xml:space="preserve">USB-C CHARGER</t>
  </si>
  <si>
    <t xml:space="preserve">USB-C Charger</t>
  </si>
  <si>
    <t xml:space="preserve">CONNECTOR EXTERNAL SP13-6</t>
  </si>
  <si>
    <t xml:space="preserve">CONNECTOR EXTERNAL SP13-4</t>
  </si>
  <si>
    <t xml:space="preserve">CONNECTOR EXTERNAL SP13-2</t>
  </si>
  <si>
    <t xml:space="preserve">CONNECTOR EXTERNAL WK11-5</t>
  </si>
  <si>
    <t xml:space="preserve">CONNECTOR EXTERNAL WK11-4</t>
  </si>
  <si>
    <t xml:space="preserve">CONNECTOR EXTERNAL WK11-3</t>
  </si>
  <si>
    <t xml:space="preserve">CONNECTOR EXTERNAL XT30</t>
  </si>
  <si>
    <t xml:space="preserve">CONNECTOR EXTERNAL XT60 2+4</t>
  </si>
  <si>
    <t xml:space="preserve">CONNECTOR EXTERNAL XT60</t>
  </si>
  <si>
    <t xml:space="preserve">ENCODER</t>
  </si>
  <si>
    <t xml:space="preserve">Rotary Encoder Module with PCB and pullup</t>
  </si>
  <si>
    <t xml:space="preserve">https://de.aliexpress.com/item/1005010536996132.html</t>
  </si>
  <si>
    <t xml:space="preserve">BOUTON REVERSE</t>
  </si>
  <si>
    <t xml:space="preserve">https://de.aliexpress.com/item/1005007396573433.html</t>
  </si>
  <si>
    <t xml:space="preserve">BOUTON FOG LIGHT</t>
  </si>
  <si>
    <t xml:space="preserve">Aviation style button</t>
  </si>
  <si>
    <t xml:space="preserve">https://de.aliexpress.com/item/1005009193149831.html</t>
  </si>
  <si>
    <t xml:space="preserve">BOUTON PUSH</t>
  </si>
  <si>
    <t xml:space="preserve">with back lightning</t>
  </si>
  <si>
    <t xml:space="preserve">selenoid Latch</t>
  </si>
  <si>
    <t xml:space="preserve">Defroster</t>
  </si>
  <si>
    <t xml:space="preserve">48V fan Heater Defroster</t>
  </si>
  <si>
    <t xml:space="preserve">https://de.aliexpress.com/item/1005008716535779.html</t>
  </si>
  <si>
    <t xml:space="preserve">PCB_back</t>
  </si>
  <si>
    <t xml:space="preserve">PCB with component</t>
  </si>
  <si>
    <t xml:space="preserve">PCB_front</t>
  </si>
  <si>
    <t xml:space="preserve">PCB with marking</t>
  </si>
  <si>
    <t xml:space="preserve">Resistor Sample book</t>
  </si>
  <si>
    <t xml:space="preserve">https://de.aliexpress.com/item/1005007791981797.html</t>
  </si>
  <si>
    <t xml:space="preserve">Luminisité sensor</t>
  </si>
  <si>
    <t xml:space="preserve">https://de.aliexpress.com/item/1005008125338381.html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</si>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</sst>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_-* #,##0_-;\-* #,##0_-;_-* \-_-;_-@_-"/>
    <numFmt numFmtId="167" formatCode="_-* #,##0.00&quot; CHF&quot;_-;\-* #,##0.00&quot; CHF&quot;_-;_-* \-??&quot; CHF&quot;_-;_-@_-"/>
    <numFmt numFmtId="168" formatCode="_-* #,##0&quot; CHF&quot;_-;\-* #,##0&quot; CHF&quot;_-;_-* &quot;- CHF&quot;_-;_-@_-"/>
    <numFmt numFmtId="169" formatCode="0%"/>
  </numFmts>
  <fonts count="7">
    <font>
      <sz val="12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rgb="FF0000FF"/>
      <name val="Aptos Narrow"/>
      <family val="2"/>
      <charset val="1"/>
    </font>
    <font>
      <sz val="12"/>
      <color rgb="FFFFFFFF"/>
      <name val="Aptos Narrow"/>
      <family val="2"/>
      <charset val="1"/>
    </font>
    <font>
      <u val="single"/>
      <sz val="12"/>
      <color theme="1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85483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1"/>
    <cellStyle name="Comma [0]" xfId="22"/>
    <cellStyle name="Currency" xfId="23"/>
    <cellStyle name="Currency [0]" xfId="24"/>
    <cellStyle name="Hyperlink 1" xfId="25"/>
    <cellStyle name="Percent" xfId="26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854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ctopart.com/opatz8j6/a1?t=Y4ZEsoHkcQH4M0T24dEaMJYMRt22RR5wT_cycgInV2a39ZQ6NDR1LwaZFuSra9Mmt8IJFfgxJomC9mT05dTYIbUREe1__ZR5WPGP62MIwx059WZZcEcjaToEUeiMJi0FOtavdyZfPklDaj0l5FHq6cstznbIaGsbjIU5xqj0Ii-npfPz0kqy8mQzAA5KMto54zfGBkbRrbvn5H6af4oUDmQb7nUd" TargetMode="External"/><Relationship Id="rId2" Type="http://schemas.openxmlformats.org/officeDocument/2006/relationships/hyperlink" Target="https://octopart.com/opatz8j6/a1?t=Y4ZEsoHkcQH4M0T24dEaMJYMRt22RR5wT_cycgInV2a39ZQ6NDR1LwaZFuSra9Mmt8IJFfgxJomC9mT05dTYIbUREe1__ZR5WPGP62MIwx059WZZcEcjaToEUeiMJi0FOtavdyZfPklDaj0l5FHq6cstznbIaGsbjIU5xqj0Ii-npfPz0kqy8mQzAA5KMto54zfGBkbRrbvn5H6af4oUDmQb7nUd" TargetMode="External"/><Relationship Id="rId3" Type="http://schemas.openxmlformats.org/officeDocument/2006/relationships/hyperlink" Target="https://octopart.com/opatz8j6/a1?t=Y4ZEsoHkcQH4M0T24dEaMJYMRt22RR5wT_cycgInV2a39ZQ6NDR1LwaZFuSra9Mmt8IJFfgxJomC9mT05dTYIbUREe1__ZR5WPGP62MIwx059WZZcEcjaToEUeiMJi0FOtavdyZfPklDaj0l5FHq6cstznbIaGsbjIU5xqj0Ii-npfPz0kqy8mQzAA5KMto54zfGBkbRrbvn5H6af4oUDmQb7nUd" TargetMode="External"/><Relationship Id="rId4" Type="http://schemas.openxmlformats.org/officeDocument/2006/relationships/hyperlink" Target="https://octopart.com/opatz8j6/a1?t=8QxNfW6SBdPDB1f_rBsjhx8h_E-Rs6S5mrljwBZeeCqsC_gNRYKtev9x6ZJK6OK-OyyEH_LjaZLeQrRYQkchPG2PXm4QBt2dDviAVk6QU2WFR2tr8a2Gyiv3a_Fd9SgHlkuIB-qvQLPqtAySGo130xN3Lm97Ub3W_JqKOgNpwdZYGcFyo8MDYGEvpHKPAPWdhspQWYT1VX9E3wKFRmQMeUrRTobu" TargetMode="External"/><Relationship Id="rId5" Type="http://schemas.openxmlformats.org/officeDocument/2006/relationships/hyperlink" Target="https://octopart.com/opatz8j6/a1?t=8QxNfW6SBdPDB1f_rBsjhx8h_E-Rs6S5mrljwBZeeCqsC_gNRYKtev9x6ZJK6OK-OyyEH_LjaZLeQrRYQkchPG2PXm4QBt2dDviAVk6QU2WFR2tr8a2Gyiv3a_Fd9SgHlkuIB-qvQLPqtAySGo130xN3Lm97Ub3W_JqKOgNpwdZYGcFyo8MDYGEvpHKPAPWdhspQWYT1VX9E3wKFRmQMeUrRTobu" TargetMode="External"/><Relationship Id="rId6" Type="http://schemas.openxmlformats.org/officeDocument/2006/relationships/hyperlink" Target="https://octopart.com/opatz8j6/a1?t=8QxNfW6SBdPDB1f_rBsjhx8h_E-Rs6S5mrljwBZeeCqsC_gNRYKtev9x6ZJK6OK-OyyEH_LjaZLeQrRYQkchPG2PXm4QBt2dDviAVk6QU2WFR2tr8a2Gyiv3a_Fd9SgHlkuIB-qvQLPqtAySGo130xN3Lm97Ub3W_JqKOgNpwdZYGcFyo8MDYGEvpHKPAPWdhspQWYT1VX9E3wKFRmQMeUrRTobu" TargetMode="External"/><Relationship Id="rId7" Type="http://schemas.openxmlformats.org/officeDocument/2006/relationships/hyperlink" Target="https://de.aliexpress.com/item/1005005260598493.html" TargetMode="External"/><Relationship Id="rId8" Type="http://schemas.openxmlformats.org/officeDocument/2006/relationships/hyperlink" Target="https://de.aliexpress.com/item/1005002951702737.html" TargetMode="External"/><Relationship Id="rId9" Type="http://schemas.openxmlformats.org/officeDocument/2006/relationships/hyperlink" Target="https://de.aliexpress.com/item/1005002951702737.html" TargetMode="External"/><Relationship Id="rId10" Type="http://schemas.openxmlformats.org/officeDocument/2006/relationships/hyperlink" Target="https://de.aliexpress.com/item/1005002951702737.html" TargetMode="External"/><Relationship Id="rId11" Type="http://schemas.openxmlformats.org/officeDocument/2006/relationships/hyperlink" Target="https://de.aliexpress.com/item/1005002951702737.html" TargetMode="External"/><Relationship Id="rId12" Type="http://schemas.openxmlformats.org/officeDocument/2006/relationships/hyperlink" Target="https://de.aliexpress.com/item/1005002951702737.html" TargetMode="External"/><Relationship Id="rId13" Type="http://schemas.openxmlformats.org/officeDocument/2006/relationships/hyperlink" Target="https://de.aliexpress.com/item/1005008076581555.html" TargetMode="External"/><Relationship Id="rId14" Type="http://schemas.openxmlformats.org/officeDocument/2006/relationships/hyperlink" Target="https://octopart.com/opatz8j6/a1?t=-decaciIPKK1TJPc-JrDOsK0YjwU6cELVxXR_jPB4ZrOoYS7blPLSGCzZ05wTLc8lmN-drkWJGILz_y9pcGaLjdCa1rL-9gwQAjca0GehXTWXP6M0ra0Ed5WnjrqV0ZupM4KnQfYJp4CYu18ud7VH2-YMQt1k_h_6rKRdQ1_ATtljf63L9LjDfpoysy00gt6-BW18vYbQRNblVEJS-49HN6UgZhl" TargetMode="External"/><Relationship Id="rId15" Type="http://schemas.openxmlformats.org/officeDocument/2006/relationships/hyperlink" Target="https://octopart.com/opatz8j6/a1?t=-decaciIPKK1TJPc-JrDOsK0YjwU6cELVxXR_jPB4ZrOoYS7blPLSGCzZ05wTLc8lmN-drkWJGILz_y9pcGaLjdCa1rL-9gwQAjca0GehXTWXP6M0ra0Ed5WnjrqV0ZupM4KnQfYJp4CYu18ud7VH2-YMQt1k_h_6rKRdQ1_ATtljf63L9LjDfpoysy00gt6-BW18vYbQRNblVEJS-49HN6UgZhl" TargetMode="External"/><Relationship Id="rId16" Type="http://schemas.openxmlformats.org/officeDocument/2006/relationships/hyperlink" Target="https://octopart.com/opatz8j6/a1?t=-decaciIPKK1TJPc-JrDOsK0YjwU6cELVxXR_jPB4ZrOoYS7blPLSGCzZ05wTLc8lmN-drkWJGILz_y9pcGaLjdCa1rL-9gwQAjca0GehXTWXP6M0ra0Ed5WnjrqV0ZupM4KnQfYJp4CYu18ud7VH2-YMQt1k_h_6rKRdQ1_ATtljf63L9LjDfpoysy00gt6-BW18vYbQRNblVEJS-49HN6UgZhl" TargetMode="External"/><Relationship Id="rId17" Type="http://schemas.openxmlformats.org/officeDocument/2006/relationships/hyperlink" Target="https://octopart.com/opatz8j6/a1?t=HPrcAMlGiT1QuE4iU0M4mRONBzUsoD91J4nULcAAzfEsf_YTC5Ny4fsljU0GnHDW4kTWZKomK9Hg5C3inziSRq04XcsdbQ6jODEop3RGQ2JUYxLof2kBRgF5QWiuwLrYTQhQ_LgyGz4pPumKXIfkqMVGWt04_T6_AourUKpl3RCCTcxuBAG0S3RscSd0pu5zAHfnUAAdAAm7JbHD7CH6qjlqaetQ" TargetMode="External"/><Relationship Id="rId18" Type="http://schemas.openxmlformats.org/officeDocument/2006/relationships/hyperlink" Target="https://octopart.com/opatz8j6/a1?t=HPrcAMlGiT1QuE4iU0M4mRONBzUsoD91J4nULcAAzfEsf_YTC5Ny4fsljU0GnHDW4kTWZKomK9Hg5C3inziSRq04XcsdbQ6jODEop3RGQ2JUYxLof2kBRgF5QWiuwLrYTQhQ_LgyGz4pPumKXIfkqMVGWt04_T6_AourUKpl3RCCTcxuBAG0S3RscSd0pu5zAHfnUAAdAAm7JbHD7CH6qjlqaetQ" TargetMode="External"/><Relationship Id="rId19" Type="http://schemas.openxmlformats.org/officeDocument/2006/relationships/hyperlink" Target="https://octopart.com/opatz8j6/a1?t=HPrcAMlGiT1QuE4iU0M4mRONBzUsoD91J4nULcAAzfEsf_YTC5Ny4fsljU0GnHDW4kTWZKomK9Hg5C3inziSRq04XcsdbQ6jODEop3RGQ2JUYxLof2kBRgF5QWiuwLrYTQhQ_LgyGz4pPumKXIfkqMVGWt04_T6_AourUKpl3RCCTcxuBAG0S3RscSd0pu5zAHfnUAAdAAm7JbHD7CH6qjlqaetQ" TargetMode="External"/><Relationship Id="rId20" Type="http://schemas.openxmlformats.org/officeDocument/2006/relationships/hyperlink" Target="https://octopart.com/opatz8j6/a1?t=HM3fHoY65Za9po8B9Nl1Vyg0_te-CkLDowi78VilI8tdVogrZta-_YWJ3lNQVurj40aYOiKkx6VtAFFekSWRqDLjLT6AwnPxPMQkXsvrJufhmtQdNTvNvec48MeYcRD8aVIKRYvF61OKJvqNtXvzhrJ3pIx7Shj_pbqMAxHP4dPh3edOAVSMs7i84lyNgvqVhQVG4MlS3GA1RD0ANPfffbNFjIwa" TargetMode="External"/><Relationship Id="rId21" Type="http://schemas.openxmlformats.org/officeDocument/2006/relationships/hyperlink" Target="https://octopart.com/opatz8j6/a1?t=HM3fHoY65Za9po8B9Nl1Vyg0_te-CkLDowi78VilI8tdVogrZta-_YWJ3lNQVurj40aYOiKkx6VtAFFekSWRqDLjLT6AwnPxPMQkXsvrJufhmtQdNTvNvec48MeYcRD8aVIKRYvF61OKJvqNtXvzhrJ3pIx7Shj_pbqMAxHP4dPh3edOAVSMs7i84lyNgvqVhQVG4MlS3GA1RD0ANPfffbNFjIwa" TargetMode="External"/><Relationship Id="rId22" Type="http://schemas.openxmlformats.org/officeDocument/2006/relationships/hyperlink" Target="https://octopart.com/opatz8j6/a1?t=HM3fHoY65Za9po8B9Nl1Vyg0_te-CkLDowi78VilI8tdVogrZta-_YWJ3lNQVurj40aYOiKkx6VtAFFekSWRqDLjLT6AwnPxPMQkXsvrJufhmtQdNTvNvec48MeYcRD8aVIKRYvF61OKJvqNtXvzhrJ3pIx7Shj_pbqMAxHP4dPh3edOAVSMs7i84lyNgvqVhQVG4MlS3GA1RD0ANPfffbNFjIwa" TargetMode="External"/><Relationship Id="rId23" Type="http://schemas.openxmlformats.org/officeDocument/2006/relationships/hyperlink" Target="https://octopart.com/opatz8j6/a1?t=RaJNY1TLOTbvnY8HizHKeoNc-NgEY4DT6crtDJDtNQw6_bWVUu0ZKjWzYTUR0S9gp7NNqIfcIm6tX_xLy9-muLNAcAYJp1ZIqRkHe1ACUWCdQ80ne1CTQYHK6UBxMg0czPDh_JSHl7V6_w95a16k87f1GA7t5Blj38kIs0tE1OyFEgJeAFh7NZi_rBIpY_qqhUvO3hswierLmwRHMPdIl-fvdkuy" TargetMode="External"/><Relationship Id="rId24" Type="http://schemas.openxmlformats.org/officeDocument/2006/relationships/hyperlink" Target="https://octopart.com/opatz8j6/a1?t=RaJNY1TLOTbvnY8HizHKeoNc-NgEY4DT6crtDJDtNQw6_bWVUu0ZKjWzYTUR0S9gp7NNqIfcIm6tX_xLy9-muLNAcAYJp1ZIqRkHe1ACUWCdQ80ne1CTQYHK6UBxMg0czPDh_JSHl7V6_w95a16k87f1GA7t5Blj38kIs0tE1OyFEgJeAFh7NZi_rBIpY_qqhUvO3hswierLmwRHMPdIl-fvdkuy" TargetMode="External"/><Relationship Id="rId25" Type="http://schemas.openxmlformats.org/officeDocument/2006/relationships/hyperlink" Target="https://octopart.com/opatz8j6/a1?t=RaJNY1TLOTbvnY8HizHKeoNc-NgEY4DT6crtDJDtNQw6_bWVUu0ZKjWzYTUR0S9gp7NNqIfcIm6tX_xLy9-muLNAcAYJp1ZIqRkHe1ACUWCdQ80ne1CTQYHK6UBxMg0czPDh_JSHl7V6_w95a16k87f1GA7t5Blj38kIs0tE1OyFEgJeAFh7NZi_rBIpY_qqhUvO3hswierLmwRHMPdIl-fvdkuy" TargetMode="External"/><Relationship Id="rId26" Type="http://schemas.openxmlformats.org/officeDocument/2006/relationships/hyperlink" Target="https://octopart.com/opatz8j6/a1?t=m4z2dfVGcmbg8_1hoKKhEkmw-MnNXZhLFQzHvOiaYH-vcy_D2Qfk8PCFkaGmEq-mK3mwlkX4TINACoyu9Q2wSetDddsJTpTv-___Z3zLGRpOBuSzGQqY45k4C4jQRdOm6agPDG7kegKnUhhaZAeYn7UUwfamxBfthD2syrSXyQNUhSSJqpBTlZVsTikC070Zkd0pdIKF-yQy5pLbSMdIEDy64JDo" TargetMode="External"/><Relationship Id="rId27" Type="http://schemas.openxmlformats.org/officeDocument/2006/relationships/hyperlink" Target="https://octopart.com/opatz8j6/a1?t=m4z2dfVGcmbg8_1hoKKhEkmw-MnNXZhLFQzHvOiaYH-vcy_D2Qfk8PCFkaGmEq-mK3mwlkX4TINACoyu9Q2wSetDddsJTpTv-___Z3zLGRpOBuSzGQqY45k4C4jQRdOm6agPDG7kegKnUhhaZAeYn7UUwfamxBfthD2syrSXyQNUhSSJqpBTlZVsTikC070Zkd0pdIKF-yQy5pLbSMdIEDy64JDo" TargetMode="External"/><Relationship Id="rId28" Type="http://schemas.openxmlformats.org/officeDocument/2006/relationships/hyperlink" Target="https://octopart.com/opatz8j6/a1?t=m4z2dfVGcmbg8_1hoKKhEkmw-MnNXZhLFQzHvOiaYH-vcy_D2Qfk8PCFkaGmEq-mK3mwlkX4TINACoyu9Q2wSetDddsJTpTv-___Z3zLGRpOBuSzGQqY45k4C4jQRdOm6agPDG7kegKnUhhaZAeYn7UUwfamxBfthD2syrSXyQNUhSSJqpBTlZVsTikC070Zkd0pdIKF-yQy5pLbSMdIEDy64JDo" TargetMode="External"/><Relationship Id="rId29" Type="http://schemas.openxmlformats.org/officeDocument/2006/relationships/hyperlink" Target="https://de.aliexpress.com/item/1005009773468597.html" TargetMode="External"/><Relationship Id="rId30" Type="http://schemas.openxmlformats.org/officeDocument/2006/relationships/hyperlink" Target="https://octopart.com/opatz8j6/a1?t=4ANyilKSpUPTuNnAtpln0If0-yZxHdHK-YVaQijUHjEex9hv9TqZ0SaOcR9v3tnfFfvjg8z10YEHtGB_USKVvrgMSWfjMlc1baH-NnHP27EZGV3yMxHF1m3zyRnsP49eXrb-Vw9NMSEbhF9uFjNXgpu17X01YYGZ3oM5xjdkUlb-dJNZ7Tk7BpqMMXfaSFqlY0cYKgQT1C2OpfV4VJdLhY3lORFp" TargetMode="External"/><Relationship Id="rId31" Type="http://schemas.openxmlformats.org/officeDocument/2006/relationships/hyperlink" Target="https://octopart.com/opatz8j6/a1?t=4ANyilKSpUPTuNnAtpln0If0-yZxHdHK-YVaQijUHjEex9hv9TqZ0SaOcR9v3tnfFfvjg8z10YEHtGB_USKVvrgMSWfjMlc1baH-NnHP27EZGV3yMxHF1m3zyRnsP49eXrb-Vw9NMSEbhF9uFjNXgpu17X01YYGZ3oM5xjdkUlb-dJNZ7Tk7BpqMMXfaSFqlY0cYKgQT1C2OpfV4VJdLhY3lORFp" TargetMode="External"/><Relationship Id="rId32" Type="http://schemas.openxmlformats.org/officeDocument/2006/relationships/hyperlink" Target="https://octopart.com/opatz8j6/a1?t=4ANyilKSpUPTuNnAtpln0If0-yZxHdHK-YVaQijUHjEex9hv9TqZ0SaOcR9v3tnfFfvjg8z10YEHtGB_USKVvrgMSWfjMlc1baH-NnHP27EZGV3yMxHF1m3zyRnsP49eXrb-Vw9NMSEbhF9uFjNXgpu17X01YYGZ3oM5xjdkUlb-dJNZ7Tk7BpqMMXfaSFqlY0cYKgQT1C2OpfV4VJdLhY3lORFp" TargetMode="External"/><Relationship Id="rId33" Type="http://schemas.openxmlformats.org/officeDocument/2006/relationships/hyperlink" Target="https://octopart.com/opatz8j6/a1?t=zxE_7BmTL62iCNx2B7SLYV9YnfNc0Bz3YGjx2Fw4mBthbJ3rV4DuOiyZTkih01tWDzxuF1IhIF7hePmv4qXWWLYPKyenHhMx_JRcCFaNp_xyyKsh0p38FqdngBVIyUkKsQoDuhM4kkVcqiwdJoJS2KlW3F_P8GlmNe16YOlrNetIL71f0GyeNgeOX_BXB6WNYf3AhE8HQSZ56uIHVz17MHTq-_js" TargetMode="External"/><Relationship Id="rId34" Type="http://schemas.openxmlformats.org/officeDocument/2006/relationships/hyperlink" Target="https://octopart.com/opatz8j6/a1?t=zxE_7BmTL62iCNx2B7SLYV9YnfNc0Bz3YGjx2Fw4mBthbJ3rV4DuOiyZTkih01tWDzxuF1IhIF7hePmv4qXWWLYPKyenHhMx_JRcCFaNp_xyyKsh0p38FqdngBVIyUkKsQoDuhM4kkVcqiwdJoJS2KlW3F_P8GlmNe16YOlrNetIL71f0GyeNgeOX_BXB6WNYf3AhE8HQSZ56uIHVz17MHTq-_js" TargetMode="External"/><Relationship Id="rId35" Type="http://schemas.openxmlformats.org/officeDocument/2006/relationships/hyperlink" Target="https://octopart.com/opatz8j6/a1?t=zxE_7BmTL62iCNx2B7SLYV9YnfNc0Bz3YGjx2Fw4mBthbJ3rV4DuOiyZTkih01tWDzxuF1IhIF7hePmv4qXWWLYPKyenHhMx_JRcCFaNp_xyyKsh0p38FqdngBVIyUkKsQoDuhM4kkVcqiwdJoJS2KlW3F_P8GlmNe16YOlrNetIL71f0GyeNgeOX_BXB6WNYf3AhE8HQSZ56uIHVz17MHTq-_j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1"/>
  <sheetViews>
    <sheetView showFormulas="false" showGridLines="true" showRowColHeaders="true" showZeros="true" rightToLeft="false" tabSelected="true" showOutlineSymbols="true" defaultGridColor="true" view="normal" topLeftCell="B1" colorId="64" zoomScale="75" zoomScaleNormal="75" zoomScalePageLayoutView="100" workbookViewId="0">
      <selection pane="topLeft" activeCell="G7" activeCellId="0" sqref="G7"/>
    </sheetView>
  </sheetViews>
  <sheetFormatPr defaultColWidth="9.25" defaultRowHeight="15.75" customHeight="true" zeroHeight="false" outlineLevelRow="0" outlineLevelCol="0"/>
  <cols>
    <col collapsed="false" customWidth="true" hidden="false" outlineLevel="0" max="1" min="1" style="1" width="40.82"/>
    <col collapsed="false" customWidth="true" hidden="false" outlineLevel="0" max="2" min="2" style="1" width="8.75"/>
    <col collapsed="false" customWidth="true" hidden="false" outlineLevel="0" max="3" min="3" style="1" width="26.17"/>
    <col collapsed="false" customWidth="true" hidden="false" outlineLevel="0" max="4" min="4" style="2" width="46.62"/>
    <col collapsed="false" customWidth="true" hidden="false" outlineLevel="0" max="5" min="5" style="1" width="19.14"/>
    <col collapsed="false" customWidth="true" hidden="false" outlineLevel="0" max="6" min="6" style="1" width="10.28"/>
    <col collapsed="false" customWidth="true" hidden="false" outlineLevel="0" max="7" min="7" style="1" width="68.6"/>
    <col collapsed="false" customWidth="true" hidden="false" outlineLevel="0" max="8" min="8" style="1" width="48.85"/>
    <col collapsed="false" customWidth="true" hidden="false" outlineLevel="0" max="9" min="9" style="1" width="26.89"/>
    <col collapsed="false" customWidth="true" hidden="false" outlineLevel="0" max="10" min="10" style="1" width="7.83"/>
    <col collapsed="false" customWidth="true" hidden="false" outlineLevel="0" max="11" min="11" style="1" width="26.75"/>
    <col collapsed="false" customWidth="true" hidden="false" outlineLevel="0" max="12" min="12" style="1" width="90.75"/>
    <col collapsed="false" customWidth="true" hidden="false" outlineLevel="0" max="13" min="13" style="1" width="10.41"/>
    <col collapsed="false" customWidth="true" hidden="false" outlineLevel="0" max="14" min="14" style="1" width="20.41"/>
    <col collapsed="false" customWidth="true" hidden="false" outlineLevel="0" max="15" min="15" style="1" width="17.5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5.75" hidden="false" customHeight="false" outlineLevel="0" collapsed="false">
      <c r="A2" s="1" t="s">
        <v>15</v>
      </c>
      <c r="B2" s="1" t="n">
        <v>6</v>
      </c>
      <c r="C2" s="1" t="s">
        <v>16</v>
      </c>
      <c r="D2" s="2" t="n">
        <v>1206</v>
      </c>
      <c r="G2" s="1" t="s">
        <v>17</v>
      </c>
      <c r="H2" s="4" t="s">
        <v>18</v>
      </c>
      <c r="I2" s="1" t="s">
        <v>19</v>
      </c>
      <c r="K2" s="4" t="s">
        <v>20</v>
      </c>
      <c r="L2" s="4" t="s">
        <v>21</v>
      </c>
      <c r="M2" s="1" t="n">
        <v>459695</v>
      </c>
      <c r="N2" s="1" t="n">
        <v>0.012</v>
      </c>
      <c r="O2" s="1" t="n">
        <f aca="false">N2*B2</f>
        <v>0.072</v>
      </c>
    </row>
    <row r="3" customFormat="false" ht="15.75" hidden="false" customHeight="false" outlineLevel="0" collapsed="false">
      <c r="A3" s="1" t="s">
        <v>22</v>
      </c>
      <c r="B3" s="1" t="n">
        <v>6</v>
      </c>
      <c r="C3" s="1" t="s">
        <v>23</v>
      </c>
      <c r="D3" s="2" t="s">
        <v>24</v>
      </c>
      <c r="E3" s="1" t="s">
        <v>25</v>
      </c>
      <c r="F3" s="1" t="s">
        <v>26</v>
      </c>
      <c r="G3" s="1" t="s">
        <v>27</v>
      </c>
      <c r="H3" s="4" t="s">
        <v>28</v>
      </c>
      <c r="I3" s="1" t="s">
        <v>19</v>
      </c>
      <c r="K3" s="4" t="s">
        <v>29</v>
      </c>
      <c r="L3" s="4" t="s">
        <v>30</v>
      </c>
      <c r="M3" s="1" t="n">
        <v>300937</v>
      </c>
      <c r="N3" s="1" t="n">
        <v>0.111</v>
      </c>
      <c r="O3" s="1" t="n">
        <f aca="false">N3*B3</f>
        <v>0.666</v>
      </c>
    </row>
    <row r="4" customFormat="false" ht="15.75" hidden="false" customHeight="false" outlineLevel="0" collapsed="false">
      <c r="A4" s="1" t="s">
        <v>31</v>
      </c>
      <c r="B4" s="1" t="n">
        <v>5</v>
      </c>
      <c r="C4" s="1" t="s">
        <v>32</v>
      </c>
      <c r="D4" s="2" t="s">
        <v>33</v>
      </c>
      <c r="E4" s="1" t="s">
        <v>32</v>
      </c>
      <c r="F4" s="1" t="s">
        <v>26</v>
      </c>
      <c r="G4" s="1" t="s">
        <v>34</v>
      </c>
      <c r="H4" s="5" t="s">
        <v>35</v>
      </c>
      <c r="I4" s="1" t="s">
        <v>36</v>
      </c>
      <c r="J4" s="1" t="s">
        <v>37</v>
      </c>
      <c r="N4" s="1" t="n">
        <v>0.1184</v>
      </c>
      <c r="O4" s="1" t="n">
        <f aca="false">N4*B4</f>
        <v>0.592</v>
      </c>
    </row>
    <row r="5" customFormat="false" ht="15.75" hidden="false" customHeight="false" outlineLevel="0" collapsed="false">
      <c r="A5" s="1" t="s">
        <v>38</v>
      </c>
      <c r="B5" s="1" t="n">
        <v>2</v>
      </c>
      <c r="C5" s="1" t="s">
        <v>39</v>
      </c>
      <c r="F5" s="1" t="s">
        <v>26</v>
      </c>
      <c r="G5" s="1" t="s">
        <v>40</v>
      </c>
      <c r="H5" s="1" t="s">
        <v>41</v>
      </c>
      <c r="I5" s="1" t="s">
        <v>36</v>
      </c>
      <c r="J5" s="1" t="s">
        <v>37</v>
      </c>
      <c r="N5" s="1" t="n">
        <v>5.845</v>
      </c>
      <c r="O5" s="1" t="n">
        <f aca="false">N5*B5</f>
        <v>11.69</v>
      </c>
    </row>
    <row r="6" customFormat="false" ht="15.75" hidden="false" customHeight="false" outlineLevel="0" collapsed="false">
      <c r="A6" s="1" t="s">
        <v>42</v>
      </c>
      <c r="B6" s="1" t="n">
        <v>2</v>
      </c>
      <c r="C6" s="1" t="s">
        <v>43</v>
      </c>
      <c r="F6" s="1" t="s">
        <v>26</v>
      </c>
      <c r="G6" s="1" t="s">
        <v>44</v>
      </c>
      <c r="H6" s="1" t="s">
        <v>41</v>
      </c>
      <c r="I6" s="1" t="s">
        <v>36</v>
      </c>
      <c r="J6" s="1" t="s">
        <v>37</v>
      </c>
      <c r="N6" s="1" t="n">
        <v>7.595</v>
      </c>
      <c r="O6" s="1" t="n">
        <f aca="false">N6*B6</f>
        <v>15.19</v>
      </c>
    </row>
    <row r="7" customFormat="false" ht="15.75" hidden="false" customHeight="false" outlineLevel="0" collapsed="false">
      <c r="A7" s="1" t="s">
        <v>45</v>
      </c>
      <c r="B7" s="1" t="n">
        <v>11</v>
      </c>
      <c r="C7" s="1" t="s">
        <v>46</v>
      </c>
      <c r="F7" s="1" t="s">
        <v>26</v>
      </c>
      <c r="G7" s="1" t="s">
        <v>47</v>
      </c>
      <c r="H7" s="5" t="s">
        <v>48</v>
      </c>
      <c r="I7" s="1" t="s">
        <v>36</v>
      </c>
      <c r="J7" s="1" t="s">
        <v>37</v>
      </c>
      <c r="N7" s="1" t="n">
        <v>0.348</v>
      </c>
      <c r="O7" s="1" t="n">
        <f aca="false">N7*B7</f>
        <v>3.828</v>
      </c>
    </row>
    <row r="8" customFormat="false" ht="15.75" hidden="false" customHeight="false" outlineLevel="0" collapsed="false">
      <c r="A8" s="1" t="s">
        <v>49</v>
      </c>
      <c r="B8" s="1" t="n">
        <v>2</v>
      </c>
      <c r="C8" s="1" t="s">
        <v>50</v>
      </c>
      <c r="F8" s="1" t="s">
        <v>26</v>
      </c>
      <c r="G8" s="1" t="s">
        <v>51</v>
      </c>
      <c r="H8" s="5" t="s">
        <v>48</v>
      </c>
      <c r="I8" s="1" t="s">
        <v>36</v>
      </c>
      <c r="J8" s="1" t="s">
        <v>37</v>
      </c>
      <c r="N8" s="1" t="n">
        <v>0.41</v>
      </c>
      <c r="O8" s="1" t="n">
        <f aca="false">N8*B8</f>
        <v>0.82</v>
      </c>
    </row>
    <row r="9" customFormat="false" ht="15.75" hidden="false" customHeight="false" outlineLevel="0" collapsed="false">
      <c r="A9" s="1" t="s">
        <v>52</v>
      </c>
      <c r="B9" s="1" t="n">
        <v>5</v>
      </c>
      <c r="C9" s="1" t="s">
        <v>53</v>
      </c>
      <c r="F9" s="1" t="s">
        <v>26</v>
      </c>
      <c r="G9" s="1" t="s">
        <v>54</v>
      </c>
      <c r="H9" s="5" t="s">
        <v>48</v>
      </c>
      <c r="I9" s="1" t="s">
        <v>36</v>
      </c>
      <c r="J9" s="1" t="s">
        <v>37</v>
      </c>
      <c r="N9" s="1" t="n">
        <v>0.278</v>
      </c>
      <c r="O9" s="1" t="n">
        <f aca="false">N9*B9</f>
        <v>1.39</v>
      </c>
    </row>
    <row r="10" customFormat="false" ht="15.75" hidden="false" customHeight="false" outlineLevel="0" collapsed="false">
      <c r="A10" s="1" t="s">
        <v>55</v>
      </c>
      <c r="B10" s="1" t="n">
        <v>5</v>
      </c>
      <c r="C10" s="1" t="s">
        <v>56</v>
      </c>
      <c r="F10" s="1" t="s">
        <v>26</v>
      </c>
      <c r="G10" s="1" t="s">
        <v>57</v>
      </c>
      <c r="H10" s="5" t="s">
        <v>48</v>
      </c>
      <c r="I10" s="1" t="s">
        <v>36</v>
      </c>
      <c r="J10" s="1" t="s">
        <v>37</v>
      </c>
      <c r="N10" s="1" t="n">
        <v>0.304</v>
      </c>
      <c r="O10" s="1" t="n">
        <f aca="false">N10*B10</f>
        <v>1.52</v>
      </c>
    </row>
    <row r="11" customFormat="false" ht="15.75" hidden="false" customHeight="false" outlineLevel="0" collapsed="false">
      <c r="A11" s="1" t="s">
        <v>58</v>
      </c>
      <c r="B11" s="1" t="n">
        <v>4</v>
      </c>
      <c r="C11" s="1" t="s">
        <v>59</v>
      </c>
      <c r="F11" s="1" t="s">
        <v>26</v>
      </c>
      <c r="G11" s="1" t="s">
        <v>60</v>
      </c>
      <c r="H11" s="5" t="s">
        <v>48</v>
      </c>
      <c r="I11" s="1" t="s">
        <v>36</v>
      </c>
      <c r="J11" s="1" t="s">
        <v>37</v>
      </c>
      <c r="N11" s="1" t="n">
        <v>0.372</v>
      </c>
      <c r="O11" s="1" t="n">
        <f aca="false">N11*B11</f>
        <v>1.488</v>
      </c>
    </row>
    <row r="12" customFormat="false" ht="15.75" hidden="false" customHeight="false" outlineLevel="0" collapsed="false">
      <c r="A12" s="1" t="s">
        <v>61</v>
      </c>
      <c r="B12" s="1" t="n">
        <v>1</v>
      </c>
      <c r="C12" s="1" t="s">
        <v>62</v>
      </c>
      <c r="E12" s="1" t="s">
        <v>63</v>
      </c>
      <c r="F12" s="1" t="s">
        <v>26</v>
      </c>
      <c r="G12" s="1" t="s">
        <v>64</v>
      </c>
      <c r="H12" s="5" t="s">
        <v>65</v>
      </c>
      <c r="I12" s="1" t="s">
        <v>36</v>
      </c>
      <c r="J12" s="1" t="s">
        <v>37</v>
      </c>
      <c r="N12" s="1" t="n">
        <v>11</v>
      </c>
      <c r="O12" s="1" t="n">
        <f aca="false">N12*B12</f>
        <v>11</v>
      </c>
    </row>
    <row r="13" customFormat="false" ht="15.75" hidden="false" customHeight="false" outlineLevel="0" collapsed="false">
      <c r="A13" s="1" t="s">
        <v>66</v>
      </c>
      <c r="B13" s="1" t="n">
        <v>6</v>
      </c>
      <c r="C13" s="1" t="s">
        <v>67</v>
      </c>
      <c r="E13" s="1" t="s">
        <v>68</v>
      </c>
      <c r="F13" s="1" t="s">
        <v>26</v>
      </c>
      <c r="G13" s="1" t="s">
        <v>69</v>
      </c>
      <c r="H13" s="4" t="s">
        <v>70</v>
      </c>
      <c r="I13" s="1" t="s">
        <v>71</v>
      </c>
      <c r="K13" s="4" t="s">
        <v>68</v>
      </c>
      <c r="L13" s="4" t="s">
        <v>72</v>
      </c>
      <c r="M13" s="1" t="n">
        <v>3380</v>
      </c>
      <c r="N13" s="1" t="n">
        <v>0.08</v>
      </c>
      <c r="O13" s="1" t="n">
        <f aca="false">N13*B13</f>
        <v>0.48</v>
      </c>
    </row>
    <row r="14" customFormat="false" ht="15.75" hidden="false" customHeight="false" outlineLevel="0" collapsed="false">
      <c r="A14" s="1" t="s">
        <v>73</v>
      </c>
      <c r="B14" s="1" t="n">
        <v>4</v>
      </c>
      <c r="C14" s="1" t="s">
        <v>74</v>
      </c>
      <c r="D14" s="2" t="n">
        <v>2512</v>
      </c>
      <c r="E14" s="1" t="s">
        <v>75</v>
      </c>
      <c r="F14" s="1" t="s">
        <v>26</v>
      </c>
      <c r="G14" s="1" t="s">
        <v>76</v>
      </c>
      <c r="H14" s="4" t="s">
        <v>77</v>
      </c>
      <c r="I14" s="1" t="s">
        <v>19</v>
      </c>
      <c r="K14" s="4" t="s">
        <v>78</v>
      </c>
      <c r="L14" s="4" t="s">
        <v>79</v>
      </c>
      <c r="M14" s="1" t="n">
        <v>19910</v>
      </c>
      <c r="N14" s="1" t="n">
        <v>0.62</v>
      </c>
      <c r="O14" s="1" t="n">
        <f aca="false">N14*B14</f>
        <v>2.48</v>
      </c>
    </row>
    <row r="15" customFormat="false" ht="15.75" hidden="false" customHeight="false" outlineLevel="0" collapsed="false">
      <c r="A15" s="1" t="s">
        <v>80</v>
      </c>
      <c r="B15" s="1" t="n">
        <v>3</v>
      </c>
      <c r="C15" s="1" t="s">
        <v>81</v>
      </c>
      <c r="D15" s="2" t="n">
        <v>1206</v>
      </c>
      <c r="O15" s="1" t="n">
        <f aca="false">N15*B15</f>
        <v>0</v>
      </c>
    </row>
    <row r="16" customFormat="false" ht="15.75" hidden="false" customHeight="false" outlineLevel="0" collapsed="false">
      <c r="A16" s="1" t="s">
        <v>82</v>
      </c>
      <c r="B16" s="1" t="n">
        <v>2</v>
      </c>
      <c r="C16" s="1" t="s">
        <v>83</v>
      </c>
      <c r="D16" s="2" t="n">
        <v>1206</v>
      </c>
      <c r="G16" s="1" t="s">
        <v>84</v>
      </c>
      <c r="H16" s="4" t="s">
        <v>85</v>
      </c>
      <c r="I16" s="1" t="s">
        <v>19</v>
      </c>
      <c r="K16" s="4" t="s">
        <v>86</v>
      </c>
      <c r="L16" s="4" t="s">
        <v>87</v>
      </c>
      <c r="M16" s="1" t="n">
        <v>802938</v>
      </c>
      <c r="N16" s="1" t="n">
        <v>0.017</v>
      </c>
      <c r="O16" s="1" t="n">
        <f aca="false">N16*B16</f>
        <v>0.034</v>
      </c>
    </row>
    <row r="17" customFormat="false" ht="15.75" hidden="false" customHeight="false" outlineLevel="0" collapsed="false">
      <c r="A17" s="1" t="s">
        <v>88</v>
      </c>
      <c r="B17" s="1" t="n">
        <v>6</v>
      </c>
      <c r="C17" s="1" t="s">
        <v>89</v>
      </c>
      <c r="D17" s="2" t="n">
        <v>1206</v>
      </c>
      <c r="O17" s="1" t="n">
        <f aca="false">N17*B17</f>
        <v>0</v>
      </c>
    </row>
    <row r="18" customFormat="false" ht="15.75" hidden="false" customHeight="false" outlineLevel="0" collapsed="false">
      <c r="A18" s="1" t="s">
        <v>90</v>
      </c>
      <c r="B18" s="1" t="n">
        <v>1</v>
      </c>
      <c r="C18" s="1" t="s">
        <v>91</v>
      </c>
      <c r="D18" s="2" t="n">
        <v>1206</v>
      </c>
      <c r="G18" s="1" t="s">
        <v>92</v>
      </c>
      <c r="O18" s="1" t="n">
        <f aca="false">N18*B18</f>
        <v>0</v>
      </c>
    </row>
    <row r="19" customFormat="false" ht="15.75" hidden="false" customHeight="false" outlineLevel="0" collapsed="false">
      <c r="A19" s="1" t="s">
        <v>93</v>
      </c>
      <c r="B19" s="1" t="n">
        <v>1</v>
      </c>
      <c r="C19" s="1" t="s">
        <v>94</v>
      </c>
      <c r="D19" s="2" t="s">
        <v>95</v>
      </c>
      <c r="E19" s="1" t="s">
        <v>96</v>
      </c>
      <c r="F19" s="1" t="s">
        <v>97</v>
      </c>
      <c r="G19" s="1" t="s">
        <v>98</v>
      </c>
      <c r="H19" s="4" t="s">
        <v>99</v>
      </c>
      <c r="I19" s="1" t="s">
        <v>19</v>
      </c>
      <c r="K19" s="4" t="s">
        <v>100</v>
      </c>
      <c r="L19" s="4" t="s">
        <v>101</v>
      </c>
      <c r="M19" s="1" t="n">
        <v>3764</v>
      </c>
      <c r="N19" s="1" t="n">
        <v>1.22</v>
      </c>
      <c r="O19" s="1" t="n">
        <f aca="false">N19*B19</f>
        <v>1.22</v>
      </c>
    </row>
    <row r="20" customFormat="false" ht="15.75" hidden="false" customHeight="false" outlineLevel="0" collapsed="false">
      <c r="A20" s="1" t="s">
        <v>102</v>
      </c>
      <c r="B20" s="1" t="n">
        <v>4</v>
      </c>
      <c r="C20" s="1" t="s">
        <v>103</v>
      </c>
      <c r="D20" s="2" t="s">
        <v>104</v>
      </c>
      <c r="E20" s="1" t="s">
        <v>105</v>
      </c>
      <c r="F20" s="1" t="s">
        <v>106</v>
      </c>
      <c r="G20" s="1" t="s">
        <v>107</v>
      </c>
      <c r="H20" s="4" t="s">
        <v>108</v>
      </c>
      <c r="I20" s="1" t="s">
        <v>109</v>
      </c>
      <c r="K20" s="4" t="s">
        <v>110</v>
      </c>
      <c r="L20" s="4" t="s">
        <v>111</v>
      </c>
      <c r="M20" s="1" t="n">
        <v>6503</v>
      </c>
      <c r="N20" s="1" t="n">
        <v>5.27</v>
      </c>
      <c r="O20" s="1" t="n">
        <f aca="false">N20*B20</f>
        <v>21.08</v>
      </c>
    </row>
    <row r="21" customFormat="false" ht="15.75" hidden="false" customHeight="false" outlineLevel="0" collapsed="false">
      <c r="A21" s="1" t="s">
        <v>112</v>
      </c>
      <c r="B21" s="1" t="n">
        <v>1</v>
      </c>
      <c r="C21" s="1" t="s">
        <v>113</v>
      </c>
      <c r="D21" s="2" t="s">
        <v>114</v>
      </c>
      <c r="E21" s="1" t="s">
        <v>113</v>
      </c>
      <c r="F21" s="1" t="s">
        <v>97</v>
      </c>
      <c r="G21" s="1" t="s">
        <v>115</v>
      </c>
      <c r="H21" s="5" t="s">
        <v>116</v>
      </c>
      <c r="I21" s="1" t="s">
        <v>36</v>
      </c>
      <c r="J21" s="1" t="s">
        <v>37</v>
      </c>
      <c r="N21" s="1" t="n">
        <v>5.22</v>
      </c>
      <c r="O21" s="1" t="n">
        <f aca="false">N21*B21</f>
        <v>5.22</v>
      </c>
    </row>
    <row r="22" customFormat="false" ht="15.75" hidden="false" customHeight="false" outlineLevel="0" collapsed="false">
      <c r="A22" s="1" t="s">
        <v>117</v>
      </c>
      <c r="B22" s="1" t="n">
        <v>2</v>
      </c>
      <c r="C22" s="1" t="s">
        <v>118</v>
      </c>
      <c r="D22" s="2" t="s">
        <v>119</v>
      </c>
      <c r="E22" s="1" t="s">
        <v>120</v>
      </c>
      <c r="F22" s="1" t="s">
        <v>26</v>
      </c>
      <c r="G22" s="1" t="s">
        <v>121</v>
      </c>
      <c r="H22" s="4" t="s">
        <v>122</v>
      </c>
      <c r="I22" s="1" t="s">
        <v>19</v>
      </c>
      <c r="K22" s="4" t="s">
        <v>123</v>
      </c>
      <c r="L22" s="4" t="s">
        <v>124</v>
      </c>
      <c r="M22" s="1" t="n">
        <v>13142</v>
      </c>
      <c r="N22" s="1" t="n">
        <v>1.62</v>
      </c>
      <c r="O22" s="1" t="n">
        <f aca="false">N22*B22</f>
        <v>3.24</v>
      </c>
    </row>
    <row r="23" customFormat="false" ht="15.75" hidden="false" customHeight="false" outlineLevel="0" collapsed="false">
      <c r="A23" s="1" t="s">
        <v>125</v>
      </c>
      <c r="B23" s="1" t="n">
        <v>5</v>
      </c>
      <c r="C23" s="1" t="s">
        <v>126</v>
      </c>
      <c r="E23" s="1" t="s">
        <v>127</v>
      </c>
      <c r="F23" s="1" t="s">
        <v>26</v>
      </c>
      <c r="G23" s="1" t="s">
        <v>128</v>
      </c>
      <c r="H23" s="4" t="s">
        <v>129</v>
      </c>
      <c r="I23" s="1" t="s">
        <v>19</v>
      </c>
      <c r="K23" s="4" t="s">
        <v>130</v>
      </c>
      <c r="L23" s="4" t="s">
        <v>131</v>
      </c>
      <c r="M23" s="1" t="n">
        <v>1571</v>
      </c>
      <c r="N23" s="1" t="n">
        <v>3.76</v>
      </c>
      <c r="O23" s="1" t="n">
        <f aca="false">N23*B23</f>
        <v>18.8</v>
      </c>
    </row>
    <row r="24" customFormat="false" ht="15.75" hidden="false" customHeight="false" outlineLevel="0" collapsed="false">
      <c r="A24" s="1" t="s">
        <v>132</v>
      </c>
      <c r="B24" s="1" t="n">
        <v>1</v>
      </c>
      <c r="C24" s="1" t="s">
        <v>133</v>
      </c>
      <c r="F24" s="1" t="s">
        <v>26</v>
      </c>
      <c r="G24" s="1" t="s">
        <v>134</v>
      </c>
      <c r="H24" s="4" t="s">
        <v>135</v>
      </c>
      <c r="I24" s="1" t="s">
        <v>36</v>
      </c>
      <c r="J24" s="1" t="s">
        <v>37</v>
      </c>
      <c r="K24" s="4"/>
      <c r="L24" s="4"/>
      <c r="N24" s="1" t="n">
        <v>2.02</v>
      </c>
      <c r="O24" s="1" t="n">
        <f aca="false">N24*B24</f>
        <v>2.02</v>
      </c>
    </row>
    <row r="25" customFormat="false" ht="15.75" hidden="false" customHeight="false" outlineLevel="0" collapsed="false">
      <c r="A25" s="1" t="s">
        <v>136</v>
      </c>
      <c r="B25" s="1" t="n">
        <v>1</v>
      </c>
      <c r="C25" s="1" t="s">
        <v>137</v>
      </c>
      <c r="F25" s="1" t="s">
        <v>26</v>
      </c>
      <c r="G25" s="1" t="s">
        <v>138</v>
      </c>
      <c r="H25" s="4" t="s">
        <v>135</v>
      </c>
      <c r="I25" s="1" t="s">
        <v>36</v>
      </c>
      <c r="J25" s="1" t="s">
        <v>37</v>
      </c>
      <c r="N25" s="1" t="n">
        <v>2.01</v>
      </c>
      <c r="O25" s="1" t="n">
        <f aca="false">N25*B25</f>
        <v>2.01</v>
      </c>
    </row>
    <row r="26" customFormat="false" ht="15.75" hidden="false" customHeight="false" outlineLevel="0" collapsed="false">
      <c r="A26" s="1" t="s">
        <v>139</v>
      </c>
      <c r="B26" s="1" t="n">
        <v>1</v>
      </c>
      <c r="C26" s="1" t="s">
        <v>140</v>
      </c>
      <c r="J26" s="1" t="s">
        <v>37</v>
      </c>
      <c r="O26" s="1" t="n">
        <f aca="false">N26*B26</f>
        <v>0</v>
      </c>
    </row>
    <row r="27" customFormat="false" ht="15.75" hidden="false" customHeight="false" outlineLevel="0" collapsed="false">
      <c r="A27" s="1" t="s">
        <v>141</v>
      </c>
      <c r="B27" s="1" t="n">
        <v>1</v>
      </c>
      <c r="C27" s="1" t="s">
        <v>142</v>
      </c>
      <c r="J27" s="1" t="s">
        <v>37</v>
      </c>
      <c r="O27" s="1" t="n">
        <f aca="false">N27*B27</f>
        <v>0</v>
      </c>
    </row>
    <row r="28" customFormat="false" ht="15.75" hidden="false" customHeight="false" outlineLevel="0" collapsed="false">
      <c r="A28" s="1" t="s">
        <v>143</v>
      </c>
      <c r="B28" s="1" t="n">
        <v>1</v>
      </c>
      <c r="O28" s="1" t="n">
        <f aca="false">N28*B28</f>
        <v>0</v>
      </c>
    </row>
    <row r="29" customFormat="false" ht="15.75" hidden="false" customHeight="false" outlineLevel="0" collapsed="false">
      <c r="A29" s="1" t="s">
        <v>144</v>
      </c>
      <c r="B29" s="1" t="n">
        <v>6</v>
      </c>
      <c r="O29" s="1" t="n">
        <f aca="false">N29*B29</f>
        <v>0</v>
      </c>
    </row>
    <row r="30" customFormat="false" ht="15.75" hidden="false" customHeight="false" outlineLevel="0" collapsed="false">
      <c r="A30" s="1" t="s">
        <v>145</v>
      </c>
      <c r="B30" s="1" t="n">
        <v>1</v>
      </c>
      <c r="O30" s="1" t="n">
        <f aca="false">N30*B30</f>
        <v>0</v>
      </c>
    </row>
    <row r="31" customFormat="false" ht="15.75" hidden="false" customHeight="false" outlineLevel="0" collapsed="false">
      <c r="A31" s="1" t="s">
        <v>146</v>
      </c>
      <c r="B31" s="1" t="n">
        <v>1</v>
      </c>
      <c r="O31" s="1" t="n">
        <f aca="false">N31*B31</f>
        <v>0</v>
      </c>
    </row>
    <row r="32" customFormat="false" ht="15.75" hidden="false" customHeight="false" outlineLevel="0" collapsed="false">
      <c r="A32" s="1" t="s">
        <v>147</v>
      </c>
      <c r="B32" s="1" t="n">
        <v>4</v>
      </c>
      <c r="O32" s="1" t="n">
        <f aca="false">N32*B32</f>
        <v>0</v>
      </c>
    </row>
    <row r="33" customFormat="false" ht="15.75" hidden="false" customHeight="false" outlineLevel="0" collapsed="false">
      <c r="A33" s="1" t="s">
        <v>148</v>
      </c>
      <c r="B33" s="1" t="n">
        <v>2</v>
      </c>
      <c r="O33" s="1" t="n">
        <f aca="false">N33*B33</f>
        <v>0</v>
      </c>
    </row>
    <row r="34" customFormat="false" ht="15.75" hidden="false" customHeight="false" outlineLevel="0" collapsed="false">
      <c r="A34" s="1" t="s">
        <v>149</v>
      </c>
      <c r="B34" s="1" t="n">
        <v>1</v>
      </c>
    </row>
    <row r="35" customFormat="false" ht="15.75" hidden="false" customHeight="false" outlineLevel="0" collapsed="false">
      <c r="A35" s="1" t="s">
        <v>150</v>
      </c>
      <c r="B35" s="1" t="n">
        <v>1</v>
      </c>
      <c r="O35" s="1" t="n">
        <f aca="false">N35*B35</f>
        <v>0</v>
      </c>
    </row>
    <row r="36" customFormat="false" ht="15.75" hidden="false" customHeight="false" outlineLevel="0" collapsed="false">
      <c r="A36" s="1" t="s">
        <v>151</v>
      </c>
      <c r="B36" s="1" t="n">
        <v>1</v>
      </c>
      <c r="O36" s="1" t="n">
        <f aca="false">N36*B36</f>
        <v>0</v>
      </c>
    </row>
    <row r="37" customFormat="false" ht="15.75" hidden="false" customHeight="false" outlineLevel="0" collapsed="false">
      <c r="A37" s="1" t="s">
        <v>152</v>
      </c>
      <c r="B37" s="1" t="n">
        <v>3</v>
      </c>
      <c r="C37" s="1" t="s">
        <v>153</v>
      </c>
      <c r="F37" s="1" t="s">
        <v>26</v>
      </c>
      <c r="H37" s="1" t="s">
        <v>154</v>
      </c>
      <c r="I37" s="1" t="s">
        <v>36</v>
      </c>
      <c r="J37" s="1" t="s">
        <v>37</v>
      </c>
      <c r="N37" s="1" t="n">
        <v>0.675</v>
      </c>
      <c r="O37" s="1" t="n">
        <f aca="false">N37*B37</f>
        <v>2.025</v>
      </c>
    </row>
    <row r="38" customFormat="false" ht="15.75" hidden="false" customHeight="false" outlineLevel="0" collapsed="false">
      <c r="A38" s="1" t="s">
        <v>155</v>
      </c>
      <c r="B38" s="1" t="n">
        <v>1</v>
      </c>
      <c r="F38" s="1" t="s">
        <v>26</v>
      </c>
      <c r="H38" s="1" t="s">
        <v>156</v>
      </c>
      <c r="I38" s="1" t="s">
        <v>36</v>
      </c>
      <c r="J38" s="1" t="s">
        <v>37</v>
      </c>
      <c r="N38" s="1" t="n">
        <v>0.365</v>
      </c>
      <c r="O38" s="1" t="n">
        <f aca="false">N38*B38</f>
        <v>0.365</v>
      </c>
    </row>
    <row r="39" customFormat="false" ht="15.75" hidden="false" customHeight="false" outlineLevel="0" collapsed="false">
      <c r="A39" s="1" t="s">
        <v>157</v>
      </c>
      <c r="B39" s="1" t="n">
        <v>1</v>
      </c>
      <c r="C39" s="1" t="s">
        <v>158</v>
      </c>
      <c r="F39" s="1" t="s">
        <v>26</v>
      </c>
      <c r="H39" s="1" t="s">
        <v>159</v>
      </c>
      <c r="I39" s="1" t="s">
        <v>36</v>
      </c>
      <c r="J39" s="1" t="s">
        <v>37</v>
      </c>
      <c r="N39" s="1" t="n">
        <v>4</v>
      </c>
      <c r="O39" s="1" t="n">
        <f aca="false">N39*B39</f>
        <v>4</v>
      </c>
    </row>
    <row r="40" customFormat="false" ht="15.75" hidden="false" customHeight="false" outlineLevel="0" collapsed="false">
      <c r="A40" s="1" t="s">
        <v>160</v>
      </c>
      <c r="B40" s="1" t="n">
        <v>5</v>
      </c>
      <c r="C40" s="1" t="s">
        <v>161</v>
      </c>
      <c r="J40" s="1" t="s">
        <v>37</v>
      </c>
      <c r="O40" s="1" t="n">
        <f aca="false">N40*B40</f>
        <v>0</v>
      </c>
    </row>
    <row r="41" customFormat="false" ht="15.75" hidden="false" customHeight="false" outlineLevel="0" collapsed="false">
      <c r="A41" s="1" t="s">
        <v>162</v>
      </c>
      <c r="B41" s="1" t="n">
        <v>1</v>
      </c>
      <c r="O41" s="1" t="n">
        <f aca="false">N41*B41</f>
        <v>0</v>
      </c>
    </row>
    <row r="42" customFormat="false" ht="15.75" hidden="false" customHeight="false" outlineLevel="0" collapsed="false">
      <c r="A42" s="1" t="s">
        <v>163</v>
      </c>
      <c r="B42" s="1" t="n">
        <v>1</v>
      </c>
      <c r="F42" s="1" t="s">
        <v>26</v>
      </c>
      <c r="G42" s="1" t="s">
        <v>164</v>
      </c>
      <c r="H42" s="1" t="s">
        <v>165</v>
      </c>
      <c r="I42" s="1" t="s">
        <v>36</v>
      </c>
      <c r="J42" s="1" t="s">
        <v>37</v>
      </c>
      <c r="N42" s="1" t="n">
        <v>27</v>
      </c>
      <c r="O42" s="1" t="n">
        <f aca="false">N42*B42</f>
        <v>27</v>
      </c>
    </row>
    <row r="43" customFormat="false" ht="15.75" hidden="false" customHeight="false" outlineLevel="0" collapsed="false">
      <c r="A43" s="1" t="s">
        <v>166</v>
      </c>
      <c r="B43" s="1" t="n">
        <v>1</v>
      </c>
      <c r="C43" s="1" t="s">
        <v>167</v>
      </c>
      <c r="O43" s="1" t="n">
        <f aca="false">N43*B43</f>
        <v>0</v>
      </c>
    </row>
    <row r="44" customFormat="false" ht="15.75" hidden="false" customHeight="false" outlineLevel="0" collapsed="false">
      <c r="A44" s="1" t="s">
        <v>168</v>
      </c>
      <c r="B44" s="1" t="n">
        <v>1</v>
      </c>
      <c r="C44" s="1" t="s">
        <v>169</v>
      </c>
      <c r="O44" s="1" t="n">
        <f aca="false">N44*B44</f>
        <v>0</v>
      </c>
    </row>
    <row r="45" customFormat="false" ht="15.75" hidden="false" customHeight="false" outlineLevel="0" collapsed="false">
      <c r="A45" s="1" t="s">
        <v>170</v>
      </c>
      <c r="B45" s="1" t="n">
        <v>1</v>
      </c>
      <c r="H45" s="1" t="s">
        <v>171</v>
      </c>
      <c r="I45" s="1" t="s">
        <v>36</v>
      </c>
      <c r="J45" s="1" t="s">
        <v>37</v>
      </c>
      <c r="O45" s="1" t="n">
        <f aca="false">N45*B41</f>
        <v>0</v>
      </c>
    </row>
    <row r="46" customFormat="false" ht="15.75" hidden="false" customHeight="false" outlineLevel="0" collapsed="false">
      <c r="A46" s="1" t="s">
        <v>172</v>
      </c>
      <c r="B46" s="1" t="n">
        <v>2</v>
      </c>
      <c r="H46" s="1" t="s">
        <v>173</v>
      </c>
      <c r="I46" s="1" t="s">
        <v>36</v>
      </c>
      <c r="J46" s="1" t="s">
        <v>37</v>
      </c>
      <c r="O46" s="1" t="n">
        <f aca="false">N46*B46</f>
        <v>0</v>
      </c>
    </row>
    <row r="47" customFormat="false" ht="15.75" hidden="false" customHeight="false" outlineLevel="0" collapsed="false">
      <c r="O47" s="1" t="n">
        <f aca="false">N47*B47</f>
        <v>0</v>
      </c>
    </row>
    <row r="48" customFormat="false" ht="15.75" hidden="false" customHeight="false" outlineLevel="0" collapsed="false">
      <c r="O48" s="1" t="n">
        <f aca="false">N48*B48</f>
        <v>0</v>
      </c>
    </row>
    <row r="49" customFormat="false" ht="15.75" hidden="false" customHeight="false" outlineLevel="0" collapsed="false">
      <c r="O49" s="1" t="n">
        <f aca="false">N49*B49</f>
        <v>0</v>
      </c>
    </row>
    <row r="50" customFormat="false" ht="15.75" hidden="false" customHeight="false" outlineLevel="0" collapsed="false">
      <c r="O50" s="1" t="n">
        <f aca="false">N50*B50</f>
        <v>0</v>
      </c>
    </row>
    <row r="51" customFormat="false" ht="15.75" hidden="false" customHeight="false" outlineLevel="0" collapsed="false">
      <c r="O51" s="1" t="n">
        <f aca="false">N51*B51</f>
        <v>0</v>
      </c>
    </row>
    <row r="52" customFormat="false" ht="15.75" hidden="false" customHeight="false" outlineLevel="0" collapsed="false">
      <c r="O52" s="1" t="n">
        <f aca="false">N52*B52</f>
        <v>0</v>
      </c>
    </row>
    <row r="53" customFormat="false" ht="15.75" hidden="false" customHeight="false" outlineLevel="0" collapsed="false">
      <c r="O53" s="1" t="n">
        <f aca="false">N53*B53</f>
        <v>0</v>
      </c>
    </row>
    <row r="54" customFormat="false" ht="15.75" hidden="false" customHeight="false" outlineLevel="0" collapsed="false">
      <c r="O54" s="1" t="n">
        <f aca="false">N54*B54</f>
        <v>0</v>
      </c>
    </row>
    <row r="55" customFormat="false" ht="15.75" hidden="false" customHeight="false" outlineLevel="0" collapsed="false">
      <c r="O55" s="1" t="n">
        <f aca="false">N55*B55</f>
        <v>0</v>
      </c>
    </row>
    <row r="56" customFormat="false" ht="15.75" hidden="false" customHeight="false" outlineLevel="0" collapsed="false">
      <c r="O56" s="1" t="n">
        <f aca="false">N56*B56</f>
        <v>0</v>
      </c>
    </row>
    <row r="57" customFormat="false" ht="15.75" hidden="false" customHeight="false" outlineLevel="0" collapsed="false">
      <c r="O57" s="1" t="n">
        <f aca="false">N57*B57</f>
        <v>0</v>
      </c>
    </row>
    <row r="58" customFormat="false" ht="15.75" hidden="false" customHeight="false" outlineLevel="0" collapsed="false">
      <c r="O58" s="1" t="n">
        <f aca="false">N58*B58</f>
        <v>0</v>
      </c>
    </row>
    <row r="59" customFormat="false" ht="15.75" hidden="false" customHeight="false" outlineLevel="0" collapsed="false">
      <c r="O59" s="1" t="n">
        <f aca="false">N59*B59</f>
        <v>0</v>
      </c>
    </row>
    <row r="60" customFormat="false" ht="15.75" hidden="false" customHeight="false" outlineLevel="0" collapsed="false">
      <c r="O60" s="1" t="n">
        <f aca="false">N60*B60</f>
        <v>0</v>
      </c>
    </row>
    <row r="61" customFormat="false" ht="15.75" hidden="false" customHeight="false" outlineLevel="0" collapsed="false">
      <c r="O61" s="1" t="n">
        <f aca="false">N61*B61</f>
        <v>0</v>
      </c>
    </row>
    <row r="62" customFormat="false" ht="15.75" hidden="false" customHeight="false" outlineLevel="0" collapsed="false">
      <c r="O62" s="1" t="n">
        <f aca="false">N62*B62</f>
        <v>0</v>
      </c>
    </row>
    <row r="63" customFormat="false" ht="15.75" hidden="false" customHeight="false" outlineLevel="0" collapsed="false">
      <c r="O63" s="1" t="n">
        <f aca="false">N63*B63</f>
        <v>0</v>
      </c>
    </row>
    <row r="64" customFormat="false" ht="15.75" hidden="false" customHeight="false" outlineLevel="0" collapsed="false">
      <c r="O64" s="1" t="n">
        <f aca="false">N64*B64</f>
        <v>0</v>
      </c>
    </row>
    <row r="65" customFormat="false" ht="15.75" hidden="false" customHeight="false" outlineLevel="0" collapsed="false">
      <c r="O65" s="1" t="n">
        <f aca="false">N65*B65</f>
        <v>0</v>
      </c>
    </row>
    <row r="66" customFormat="false" ht="15.75" hidden="false" customHeight="false" outlineLevel="0" collapsed="false">
      <c r="O66" s="1" t="n">
        <f aca="false">N66*B66</f>
        <v>0</v>
      </c>
    </row>
    <row r="67" customFormat="false" ht="15.75" hidden="false" customHeight="false" outlineLevel="0" collapsed="false">
      <c r="O67" s="1" t="n">
        <f aca="false">N67*B67</f>
        <v>0</v>
      </c>
    </row>
    <row r="68" customFormat="false" ht="15.75" hidden="false" customHeight="false" outlineLevel="0" collapsed="false">
      <c r="O68" s="1" t="n">
        <f aca="false">N68*B68</f>
        <v>0</v>
      </c>
    </row>
    <row r="69" customFormat="false" ht="15.75" hidden="false" customHeight="false" outlineLevel="0" collapsed="false">
      <c r="O69" s="1" t="n">
        <f aca="false">N69*B69</f>
        <v>0</v>
      </c>
    </row>
    <row r="70" customFormat="false" ht="15.75" hidden="false" customHeight="false" outlineLevel="0" collapsed="false">
      <c r="O70" s="1" t="n">
        <f aca="false">N70*B70</f>
        <v>0</v>
      </c>
    </row>
    <row r="71" customFormat="false" ht="15.75" hidden="false" customHeight="false" outlineLevel="0" collapsed="false">
      <c r="O71" s="1" t="n">
        <f aca="false">N71*B71</f>
        <v>0</v>
      </c>
    </row>
    <row r="72" customFormat="false" ht="15.75" hidden="false" customHeight="false" outlineLevel="0" collapsed="false">
      <c r="O72" s="1" t="n">
        <f aca="false">N72*B72</f>
        <v>0</v>
      </c>
    </row>
    <row r="73" customFormat="false" ht="15.75" hidden="false" customHeight="false" outlineLevel="0" collapsed="false">
      <c r="O73" s="1" t="n">
        <f aca="false">N73*B73</f>
        <v>0</v>
      </c>
    </row>
    <row r="74" customFormat="false" ht="15.75" hidden="false" customHeight="false" outlineLevel="0" collapsed="false">
      <c r="O74" s="1" t="n">
        <f aca="false">N74*B74</f>
        <v>0</v>
      </c>
    </row>
    <row r="75" customFormat="false" ht="15.75" hidden="false" customHeight="false" outlineLevel="0" collapsed="false">
      <c r="O75" s="1" t="n">
        <f aca="false">N75*B75</f>
        <v>0</v>
      </c>
    </row>
    <row r="76" customFormat="false" ht="15.75" hidden="false" customHeight="false" outlineLevel="0" collapsed="false">
      <c r="O76" s="1" t="n">
        <f aca="false">N76*B76</f>
        <v>0</v>
      </c>
    </row>
    <row r="77" customFormat="false" ht="15.75" hidden="false" customHeight="false" outlineLevel="0" collapsed="false">
      <c r="O77" s="1" t="n">
        <f aca="false">N77*B77</f>
        <v>0</v>
      </c>
    </row>
    <row r="78" customFormat="false" ht="15.75" hidden="false" customHeight="false" outlineLevel="0" collapsed="false">
      <c r="O78" s="1" t="n">
        <f aca="false">N78*B78</f>
        <v>0</v>
      </c>
    </row>
    <row r="79" customFormat="false" ht="15.75" hidden="false" customHeight="false" outlineLevel="0" collapsed="false">
      <c r="O79" s="1" t="n">
        <f aca="false">N79*B79</f>
        <v>0</v>
      </c>
    </row>
    <row r="80" customFormat="false" ht="15.75" hidden="false" customHeight="false" outlineLevel="0" collapsed="false">
      <c r="O80" s="1" t="n">
        <f aca="false">N80*B80</f>
        <v>0</v>
      </c>
    </row>
    <row r="81" customFormat="false" ht="15.75" hidden="false" customHeight="false" outlineLevel="0" collapsed="false">
      <c r="N81" s="1" t="s">
        <v>174</v>
      </c>
      <c r="O81" s="1" t="n">
        <f aca="false">SUM(O2:O80)</f>
        <v>138.23</v>
      </c>
    </row>
  </sheetData>
  <hyperlinks>
    <hyperlink ref="H2" r:id="rId1" display="Mouser 603-CC805KRX7R9BB104"/>
    <hyperlink ref="K2" r:id="rId2" display="603-CC805KRX7R9BB104"/>
    <hyperlink ref="L2" r:id="rId3" display="https://octopart.com/opatz8j6/a1?t=Y4ZEsoHkcQH4M0T24dEaMJYMRt22RR5wT_cycgInV2a39ZQ6NDR1LwaZFuSra9Mmt8IJFfgxJomC9mT05dTYIbUREe1__ZR5WPGP62MIwx059WZZcEcjaToEUeiMJi0FOtavdyZfPklDaj0l5FHq6cstznbIaGsbjIU5xqj0Ii-npfPz0kqy8mQzAA5KMto54zfGBkbRrbvn5H6af4oUDmQb7nUdt96QCubcGhbWWbj1XxmbNGk-fgGFyw4Vh21EdbjN9oAh8tSktT9rqBds49zDMQ"/>
    <hyperlink ref="H3" r:id="rId4" display="Mouser 621-S1M-F"/>
    <hyperlink ref="K3" r:id="rId5" display="621-S1M-F"/>
    <hyperlink ref="L3" r:id="rId6" display="https://octopart.com/opatz8j6/a1?t=8QxNfW6SBdPDB1f_rBsjhx8h_E-Rs6S5mrljwBZeeCqsC_gNRYKtev9x6ZJK6OK-OyyEH_LjaZLeQrRYQkchPG2PXm4QBt2dDviAVk6QU2WFR2tr8a2Gyiv3a_Fd9SgHlkuIB-qvQLPqtAySGo130xN3Lm97Ub3W_JqKOgNpwdZYGcFyo8MDYGEvpHKPAPWdhspQWYT1VX9E3wKFRmQMeUrRTobuYa7P20akcDzglc-DwxIV3mntnQS5pY-SBXfzjXr_hyf1KP4apbAXMz_dXSlctgdi"/>
    <hyperlink ref="H4" r:id="rId7" display="https://de.aliexpress.com/item/1005005260598493.html"/>
    <hyperlink ref="H7" r:id="rId8" display="https://de.aliexpress.com/item/1005002951702737.html"/>
    <hyperlink ref="H8" r:id="rId9" display="https://de.aliexpress.com/item/1005002951702737.html"/>
    <hyperlink ref="H9" r:id="rId10" display="https://de.aliexpress.com/item/1005002951702737.html"/>
    <hyperlink ref="H10" r:id="rId11" display="https://de.aliexpress.com/item/1005002951702737.html"/>
    <hyperlink ref="H11" r:id="rId12" display="https://de.aliexpress.com/item/1005002951702737.html"/>
    <hyperlink ref="H12" r:id="rId13" display="https://de.aliexpress.com/item/1005008076581555.html"/>
    <hyperlink ref="H13" r:id="rId14" display="RS (Formerly Allied Electronics) IRFML8244TRPBF"/>
    <hyperlink ref="K13" r:id="rId15" display="IRFML8244TRPBF"/>
    <hyperlink ref="L13" r:id="rId16" display="https://octopart.com/opatz8j6/a1?t=-decaciIPKK1TJPc-JrDOsK0YjwU6cELVxXR_jPB4ZrOoYS7blPLSGCzZ05wTLc8lmN-drkWJGILz_y9pcGaLjdCa1rL-9gwQAjca0GehXTWXP6M0ra0Ed5WnjrqV0ZupM4KnQfYJp4CYu18ud7VH2-YMQt1k_h_6rKRdQ1_ATtljf63L9LjDfpoysy00gt6-BW18vYbQRNblVEJS-49HN6UgZhlPFFJcvkID3dcAemDzMQnx31zJF8MhjUth-T4vkftzPgrwOD6sGdo3h2cghpV"/>
    <hyperlink ref="H14" r:id="rId17" display="Mouser 708-CSNL2512FT1L00"/>
    <hyperlink ref="K14" r:id="rId18" display="708-CSNL2512FT1L00"/>
    <hyperlink ref="L14" r:id="rId19" display="https://octopart.com/opatz8j6/a1?t=HPrcAMlGiT1QuE4iU0M4mRONBzUsoD91J4nULcAAzfEsf_YTC5Ny4fsljU0GnHDW4kTWZKomK9Hg5C3inziSRq04XcsdbQ6jODEop3RGQ2JUYxLof2kBRgF5QWiuwLrYTQhQ_LgyGz4pPumKXIfkqMVGWt04_T6_AourUKpl3RCCTcxuBAG0S3RscSd0pu5zAHfnUAAdAAm7JbHD7CH6qjlqaetQA3qV4PnPddzWtjyZQHuQcAj38hpCIbvukRI6PjSWm-7R_wEGv6sdUwJkkIKf_M2G"/>
    <hyperlink ref="H16" r:id="rId20" display="Mouser 667-ERJ-2RKF4701X"/>
    <hyperlink ref="K16" r:id="rId21" display="667-ERJ-2RKF4701X"/>
    <hyperlink ref="L16" r:id="rId22" display="https://octopart.com/opatz8j6/a1?t=HM3fHoY65Za9po8B9Nl1Vyg0_te-CkLDowi78VilI8tdVogrZta-_YWJ3lNQVurj40aYOiKkx6VtAFFekSWRqDLjLT6AwnPxPMQkXsvrJufhmtQdNTvNvec48MeYcRD8aVIKRYvF61OKJvqNtXvzhrJ3pIx7Shj_pbqMAxHP4dPh3edOAVSMs7i84lyNgvqVhQVG4MlS3GA1RD0ANPfffbNFjIwaF32Gfkgzq8yseTQnBbQtqSMjb4qPYAa8oFTdGQR7bdvQw5D83USE-VgrD0t1_EA"/>
    <hyperlink ref="H19" r:id="rId23" display="Mouser 771-TJA1051T/3/2Z"/>
    <hyperlink ref="K19" r:id="rId24" display="771-TJA1051T/3/2Z"/>
    <hyperlink ref="L19" r:id="rId25" display="https://octopart.com/opatz8j6/a1?t=RaJNY1TLOTbvnY8HizHKeoNc-NgEY4DT6crtDJDtNQw6_bWVUu0ZKjWzYTUR0S9gp7NNqIfcIm6tX_xLy9-muLNAcAYJp1ZIqRkHe1ACUWCdQ80ne1CTQYHK6UBxMg0czPDh_JSHl7V6_w95a16k87f1GA7t5Blj38kIs0tE1OyFEgJeAFh7NZi_rBIpY_qqhUvO3hswierLmwRHMPdIl-fvdkuysabsI6rT1Fx33xU01LWy49zKdLcLHjXqHX1-yMUMFzJGTb1Y3Z6WGBE5ymqDDmm5"/>
    <hyperlink ref="H20" r:id="rId26" display="DigiKey 296-INA228AQDGSRQ1CT-ND"/>
    <hyperlink ref="K20" r:id="rId27" display="296-INA228AQDGSRQ1CT-ND"/>
    <hyperlink ref="L20" r:id="rId28" display="https://octopart.com/opatz8j6/a1?t=m4z2dfVGcmbg8_1hoKKhEkmw-MnNXZhLFQzHvOiaYH-vcy_D2Qfk8PCFkaGmEq-mK3mwlkX4TINACoyu9Q2wSetDddsJTpTv-___Z3zLGRpOBuSzGQqY45k4C4jQRdOm6agPDG7kegKnUhhaZAeYn7UUwfamxBfthD2syrSXyQNUhSSJqpBTlZVsTikC070Zkd0pdIKF-yQy5pLbSMdIEDy64JDoZlNiHN5-YtfU8HKYvpeOqdn7X4jfnfh2_9dI8k_tVm6hV9lWcXrPC_Z0TDa1FI0"/>
    <hyperlink ref="H21" r:id="rId29" display="https://de.aliexpress.com/item/1005009773468597.html"/>
    <hyperlink ref="H22" r:id="rId30" display="Mouser 579-MCP23017T-E/SO"/>
    <hyperlink ref="K22" r:id="rId31" display="579-MCP23017T-E/SO"/>
    <hyperlink ref="L22" r:id="rId32" display="https://octopart.com/opatz8j6/a1?t=4ANyilKSpUPTuNnAtpln0If0-yZxHdHK-YVaQijUHjEex9hv9TqZ0SaOcR9v3tnfFfvjg8z10YEHtGB_USKVvrgMSWfjMlc1baH-NnHP27EZGV3yMxHF1m3zyRnsP49eXrb-Vw9NMSEbhF9uFjNXgpu17X01YYGZ3oM5xjdkUlb-dJNZ7Tk7BpqMMXfaSFqlY0cYKgQT1C2OpfV4VJdLhY3lORFpOtCMqio_hT3rizmzfsYP__z7AWVkgLbkjtjDzM0JcwWTcRCdmdlFysFIif1zOA"/>
    <hyperlink ref="H23" r:id="rId33" display="Mouser 511-STB80NF10"/>
    <hyperlink ref="K23" r:id="rId34" display="511-STB80NF10"/>
    <hyperlink ref="L23" r:id="rId35" display="https://octopart.com/opatz8j6/a1?t=zxE_7BmTL62iCNx2B7SLYV9YnfNc0Bz3YGjx2Fw4mBthbJ3rV4DuOiyZTkih01tWDzxuF1IhIF7hePmv4qXWWLYPKyenHhMx_JRcCFaNp_xyyKsh0p38FqdngBVIyUkKsQoDuhM4kkVcqiwdJoJS2KlW3F_P8GlmNe16YOlrNetIL71f0GyeNgeOX_BXB6WNYf3AhE8HQSZ56uIHVz17MHTq-_jslUEyqtUt0H4OefOgSCpE_O-0LXGzQsCSaUYkXpz5-3zMdSTDkE2gJBS6erNrc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2025-12-22T08:53:18Z</dcterms:created>
  <dc:creator>Dario Ciani</dc:creator>
  <dc:description/>
  <dc:language>fr-CH</dc:language>
  <cp:lastModifiedBy/>
  <dcterms:modified xsi:type="dcterms:W3CDTF">2026-01-06T16:48:28Z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